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f1487983113f445/Desktop/My Projects/CJP 2026/"/>
    </mc:Choice>
  </mc:AlternateContent>
  <xr:revisionPtr revIDLastSave="218" documentId="8_{D72DC1DC-A396-48C3-8FD5-50082567A007}" xr6:coauthVersionLast="47" xr6:coauthVersionMax="47" xr10:uidLastSave="{651E7356-5EC6-48F4-BD38-6ACFD9EED234}"/>
  <bookViews>
    <workbookView xWindow="-108" yWindow="-108" windowWidth="23256" windowHeight="12456" activeTab="3" xr2:uid="{6BF33C9A-CF14-4167-8077-E58FC61E6876}"/>
  </bookViews>
  <sheets>
    <sheet name="Youth_ Unemployment" sheetId="1" r:id="rId1"/>
    <sheet name="GDP" sheetId="2" r:id="rId2"/>
    <sheet name="Inflation" sheetId="3" r:id="rId3"/>
    <sheet name="State_Unemployment" sheetId="7" r:id="rId4"/>
    <sheet name="PLFS_Monthly" sheetId="4" r:id="rId5"/>
    <sheet name="Gender_Split" sheetId="5" r:id="rId6"/>
    <sheet name="Rupee_USD" sheetId="6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2" i="4"/>
</calcChain>
</file>

<file path=xl/sharedStrings.xml><?xml version="1.0" encoding="utf-8"?>
<sst xmlns="http://schemas.openxmlformats.org/spreadsheetml/2006/main" count="119" uniqueCount="103">
  <si>
    <t>Year</t>
  </si>
  <si>
    <t>Youth_Unemployment_Pct</t>
  </si>
  <si>
    <t>Overall_Unemployment_Pct</t>
  </si>
  <si>
    <t>Key_Event</t>
  </si>
  <si>
    <t>COVID-19 pandemic peak</t>
  </si>
  <si>
    <t>Recovery begins</t>
  </si>
  <si>
    <t>Post-Pandemic low</t>
  </si>
  <si>
    <t>GDP_Growth_Pct</t>
  </si>
  <si>
    <t>Global Financial crisis</t>
  </si>
  <si>
    <t>Demonetisation impact</t>
  </si>
  <si>
    <t>Pre-Pandemic slowdown</t>
  </si>
  <si>
    <t>COVID-19 recession</t>
  </si>
  <si>
    <t>Rebound</t>
  </si>
  <si>
    <t>CPI_Inflation_Pct</t>
  </si>
  <si>
    <t>Key_event</t>
  </si>
  <si>
    <t>Global commodity shock</t>
  </si>
  <si>
    <t>Food inflation crisis</t>
  </si>
  <si>
    <t>Highest in decade</t>
  </si>
  <si>
    <t>Lowest in 5 years</t>
  </si>
  <si>
    <t>COVID supply shock</t>
  </si>
  <si>
    <t>Post-COVID surge</t>
  </si>
  <si>
    <t>Historic low</t>
  </si>
  <si>
    <t>Month</t>
  </si>
  <si>
    <t>Overall_Pct</t>
  </si>
  <si>
    <t>Urban_Pct</t>
  </si>
  <si>
    <t>Rural_Pct</t>
  </si>
  <si>
    <t>Key_Element</t>
  </si>
  <si>
    <t>Month_Year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</si>
  <si>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</si>
  <si>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</si>
  <si>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</si>
  <si>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</si>
  <si>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</si>
  <si>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</si>
  <si>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</si>
  <si>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</si>
  <si>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</si>
  <si>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</si>
  <si>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</si>
  <si>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</si>
  <si>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Peak H1 2025</t>
  </si>
  <si>
    <t>Period Low</t>
  </si>
  <si>
    <t>5- Month high</t>
  </si>
  <si>
    <t>Segment</t>
  </si>
  <si>
    <t>Category</t>
  </si>
  <si>
    <t>Unemployement_Pct</t>
  </si>
  <si>
    <t>Period</t>
  </si>
  <si>
    <t>Overall</t>
  </si>
  <si>
    <t>Urban</t>
  </si>
  <si>
    <t>Rural</t>
  </si>
  <si>
    <t>All</t>
  </si>
  <si>
    <t>Male</t>
  </si>
  <si>
    <t>Female</t>
  </si>
  <si>
    <t>USD_INR_Rate</t>
  </si>
  <si>
    <t>Rupee_Change_Pct</t>
  </si>
  <si>
    <t>Rupee strongest since 1998</t>
  </si>
  <si>
    <t>Global crisis</t>
  </si>
  <si>
    <t>Sharp depreciation</t>
  </si>
  <si>
    <t>Taper tantrum crash</t>
  </si>
  <si>
    <t>Demonetisation</t>
  </si>
  <si>
    <t>COVID crash</t>
  </si>
  <si>
    <t>Post-COVID pressure</t>
  </si>
  <si>
    <t>Near all-time low</t>
  </si>
  <si>
    <t>Slight recovery; CJP movement May 2026</t>
  </si>
  <si>
    <t>(Q1 2026 estimate — full year not yet published)</t>
  </si>
  <si>
    <t>Jan-Apr 26 Average</t>
  </si>
  <si>
    <t>State</t>
  </si>
  <si>
    <t>GDP_Per_Capita_INR_Lakh</t>
  </si>
  <si>
    <t>Literacy_Rate_Pct</t>
  </si>
  <si>
    <t>Population_Million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</si>
  <si>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</si>
  <si>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</si>
  <si>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</si>
  <si>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</si>
  <si>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</si>
  <si>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</si>
  <si>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</si>
  <si>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</si>
  <si>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</si>
  <si>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</si>
  <si>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</si>
  <si>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</si>
  <si>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</si>
  <si>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</si>
  <si>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</si>
  <si>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</si>
  <si>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</si>
  <si>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</si>
  <si>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</si>
  <si>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</si>
  <si>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</si>
  <si>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</si>
  <si>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</si>
  <si>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</si>
  <si>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</si>
  <si>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</si>
  <si>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</si>
  <si>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</si>
  <si>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</si>
  <si>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&amp; Kashmir</t>
  </si>
  <si>
    <t>Lakshadweep</t>
  </si>
  <si>
    <t>Andaman &amp; Nicobar</t>
  </si>
  <si>
    <t>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</si>
</sst>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b/>
      <i/>
      <sz val="11"/>
      <color theme="1"/>
      <name val="Trebuchet MS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1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3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alignment horizontal="center" vertical="bottom" textRotation="0" wrapText="0" indent="0" justifyLastLine="0" shrinkToFit="0" readingOrder="0"/>
    </dxf>
    <dxf>
      <numFmt numFmtId="22" formatCode="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CC7C03-94E6-49A8-BBD4-C815493F15FA}" name="Table2" displayName="Table2" ref="A1:D37" totalsRowShown="0" headerRowDxfId="30" dataDxfId="29">
  <tableColumns count="4">
    <tableColumn id="1" xr3:uid="{4974A0E9-3BBF-4AAD-995A-A4E1628250F9}" name="Year" dataDxfId="28"/>
    <tableColumn id="2" xr3:uid="{5F81BEEC-2300-4DF8-9157-8979DA7632C9}" name="Youth_Unemployment_Pct" dataDxfId="27"/>
    <tableColumn id="3" xr3:uid="{2FCE3B83-B8E9-40F7-8DC6-3F740C599C2F}" name="Overall_Unemployment_Pct" dataDxfId="26"/>
    <tableColumn id="4" xr3:uid="{E3400143-3FCA-4248-9300-9000384B9A8A}" name="Key_Event" dataDxfId="2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C17E45-4A61-4238-9880-8307DAE2070D}" name="Table3" displayName="Table3" ref="A1:C28" totalsRowShown="0" headerRowDxfId="24" dataDxfId="23">
  <tableColumns count="3">
    <tableColumn id="1" xr3:uid="{42D4330E-1B7F-452F-987B-29EF0C4C2795}" name="Year" dataDxfId="22"/>
    <tableColumn id="2" xr3:uid="{37DD9D46-FD4B-4208-97F9-EB7AD522DE8E}" name="GDP_Growth_Pct" dataDxfId="21"/>
    <tableColumn id="3" xr3:uid="{95BEC840-F867-45A8-9DE8-A66C6C650A4D}" name="Key_Event" dataDxfId="20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8B1978-CB6F-4461-86DA-7B33C3440103}" name="Table4" displayName="Table4" ref="A1:C28" totalsRowShown="0" headerRowDxfId="35" dataDxfId="34">
  <tableColumns count="3">
    <tableColumn id="1" xr3:uid="{21E6511B-C659-48E7-8D5C-60C83878CC34}" name="Year" dataDxfId="33"/>
    <tableColumn id="2" xr3:uid="{BDCE23CF-DC83-4982-B471-E7AAC4606522}" name="CPI_Inflation_Pct" dataDxfId="32"/>
    <tableColumn id="3" xr3:uid="{9D08DA5B-0B9C-4B13-A3FA-4E8C3D36DA2B}" name="Key_event" dataDxfId="3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0060B-F6E7-43E7-9D7A-9FA8E211F5C3}" name="Table1" displayName="Table1" ref="A1:F34" totalsRowShown="0">
  <tableColumns count="6">
    <tableColumn id="1" xr3:uid="{45A84953-CE03-4B4E-A341-01C530216D8D}" name="State"/>
    <tableColumn id="2" xr3:uid="{CC9EE108-26E2-4F9E-8989-6ED496F6A64F}" name="Youth_Unemployment_Pct"/>
    <tableColumn id="3" xr3:uid="{3386E09B-F2E8-4A88-B2DB-1CE2A6BD0CD4}" name="Overall_Unemployment_Pct"/>
    <tableColumn id="4" xr3:uid="{6298100B-EFA7-49DB-93D6-2CF7ABF238D8}" name="GDP_Per_Capita_INR_Lakh"/>
    <tableColumn id="5" xr3:uid="{9BC9C3CF-5CEC-4F4B-92F6-641F843A83DC}" name="Literacy_Rate_Pct"/>
    <tableColumn id="6" xr3:uid="{85B2D0FF-23A7-45FC-9FAD-CE6A68598171}" name="Population_Million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906CEF-6DBD-402E-B3B5-381391308FA4}" name="Table5" displayName="Table5" ref="A1:G13" totalsRowShown="0" headerRowDxfId="19" dataDxfId="18">
  <tableColumns count="7">
    <tableColumn id="1" xr3:uid="{1A13E113-13C7-4E3D-9D72-4D6762F097E6}" name="Month" dataDxfId="17"/>
    <tableColumn id="2" xr3:uid="{F2C2A11F-41F2-44A9-8AB8-C166F845B0CF}" name="Year" dataDxfId="16"/>
    <tableColumn id="3" xr3:uid="{BB472E78-BED4-41F5-B3FC-BC899FE46276}" name="Overall_Pct" dataDxfId="15"/>
    <tableColumn id="4" xr3:uid="{8D6BCBDB-0C38-4910-8018-C2C34A4B660B}" name="Urban_Pct" dataDxfId="14"/>
    <tableColumn id="5" xr3:uid="{4B36A8FD-9405-4880-8D4D-F3F40C37E83D}" name="Rural_Pct" dataDxfId="13"/>
    <tableColumn id="6" xr3:uid="{8975E0B7-B33E-498F-87BC-185896F33F52}" name="Key_Element" dataDxfId="12"/>
    <tableColumn id="7" xr3:uid="{30AEAB67-F9B7-4A51-920F-BEA3CCFD648A}" name="Month_Year" dataDxfId="11">
      <calculatedColumnFormula>A2&amp;"  "&amp;B2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4306B7-7659-4E21-A1D0-5359398E48FE}" name="Table6" displayName="Table6" ref="A1:D8" totalsRowShown="0" dataDxfId="10">
  <tableColumns count="4">
    <tableColumn id="1" xr3:uid="{DB175888-9703-4734-AD7A-B028FEBB1020}" name="Segment" dataDxfId="9"/>
    <tableColumn id="2" xr3:uid="{D600FAB9-97A8-48DD-BD26-DF03F9AC20EB}" name="Category" dataDxfId="8"/>
    <tableColumn id="3" xr3:uid="{CE567771-D91E-4C2B-AD71-2EFA8457520C}" name="Unemployement_Pct" dataDxfId="7"/>
    <tableColumn id="4" xr3:uid="{BC2EF50A-35AA-4434-A32F-25627428863D}" name="Period" dataDxfId="6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D86419-67C6-4DBB-88B3-2995A61ED2CF}" name="Table7" displayName="Table7" ref="A1:D28" totalsRowShown="0" headerRowDxfId="5" dataDxfId="4">
  <autoFilter ref="A1:D28" xr:uid="{B4D86419-67C6-4DBB-88B3-2995A61ED2CF}"/>
  <tableColumns count="4">
    <tableColumn id="1" xr3:uid="{607F8577-BF72-4DB8-83DC-66BD824BA400}" name="Year" dataDxfId="3"/>
    <tableColumn id="2" xr3:uid="{A9E6A616-8688-4009-B155-8A38CF673671}" name="USD_INR_Rate" dataDxfId="2"/>
    <tableColumn id="3" xr3:uid="{817F1762-6AF4-4EC0-B738-7C520679E479}" name="Rupee_Change_Pct" dataDxfId="1"/>
    <tableColumn id="4" xr3:uid="{06899E42-4824-433E-91DB-5942CD42BCAD}" name="Key_Event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A4CD55-9E91-4161-AE07-BCF56167F7D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a930385-4490-4bba-85a6-2333c40441c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C57F-1C6F-4515-A40F-FB4D2BF4E8BC}">
  <dimension ref="A1:D37"/>
  <sheetViews>
    <sheetView zoomScale="99" workbookViewId="0"/>
  </sheetViews>
  <sheetFormatPr defaultRowHeight="14.4" x14ac:dyDescent="0.3"/>
  <cols>
    <col min="1" max="1" width="7.33203125" customWidth="1"/>
    <col min="2" max="2" width="26" customWidth="1"/>
    <col min="3" max="3" width="26.88671875" customWidth="1"/>
    <col min="4" max="4" width="23.77734375" bestFit="1" customWidth="1"/>
  </cols>
  <sheetData>
    <row r="1" spans="1:4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s="1">
        <v>1991</v>
      </c>
      <c r="B2" s="1">
        <v>20.181999999999999</v>
      </c>
      <c r="C2" s="1">
        <v>5.4</v>
      </c>
      <c r="D2" s="1"/>
    </row>
    <row r="3" spans="1:4" x14ac:dyDescent="0.3">
      <c r="A3" s="1">
        <v>1992</v>
      </c>
      <c r="B3" s="1">
        <v>20.257000000000001</v>
      </c>
      <c r="C3" s="1">
        <v>5.4</v>
      </c>
      <c r="D3" s="1"/>
    </row>
    <row r="4" spans="1:4" x14ac:dyDescent="0.3">
      <c r="A4" s="1">
        <v>1993</v>
      </c>
      <c r="B4" s="1">
        <v>20.350000000000001</v>
      </c>
      <c r="C4" s="1">
        <v>5.4</v>
      </c>
      <c r="D4" s="1"/>
    </row>
    <row r="5" spans="1:4" x14ac:dyDescent="0.3">
      <c r="A5" s="1">
        <v>1994</v>
      </c>
      <c r="B5" s="1">
        <v>20.265000000000001</v>
      </c>
      <c r="C5" s="1">
        <v>5.3</v>
      </c>
      <c r="D5" s="1"/>
    </row>
    <row r="6" spans="1:4" x14ac:dyDescent="0.3">
      <c r="A6" s="1">
        <v>1995</v>
      </c>
      <c r="B6" s="1">
        <v>20.202000000000002</v>
      </c>
      <c r="C6" s="1">
        <v>5.3</v>
      </c>
      <c r="D6" s="1"/>
    </row>
    <row r="7" spans="1:4" x14ac:dyDescent="0.3">
      <c r="A7" s="1">
        <v>1996</v>
      </c>
      <c r="B7" s="1">
        <v>20.117999999999999</v>
      </c>
      <c r="C7" s="1">
        <v>5.3</v>
      </c>
      <c r="D7" s="1"/>
    </row>
    <row r="8" spans="1:4" x14ac:dyDescent="0.3">
      <c r="A8" s="1">
        <v>1997</v>
      </c>
      <c r="B8" s="1">
        <v>20.184999999999999</v>
      </c>
      <c r="C8" s="1">
        <v>5.4</v>
      </c>
      <c r="D8" s="1"/>
    </row>
    <row r="9" spans="1:4" x14ac:dyDescent="0.3">
      <c r="A9" s="1">
        <v>1998</v>
      </c>
      <c r="B9" s="1">
        <v>20.224</v>
      </c>
      <c r="C9" s="1">
        <v>5.4</v>
      </c>
      <c r="D9" s="1"/>
    </row>
    <row r="10" spans="1:4" x14ac:dyDescent="0.3">
      <c r="A10" s="1">
        <v>1999</v>
      </c>
      <c r="B10" s="1">
        <v>20.190000000000001</v>
      </c>
      <c r="C10" s="1">
        <v>5.3</v>
      </c>
      <c r="D10" s="1"/>
    </row>
    <row r="11" spans="1:4" x14ac:dyDescent="0.3">
      <c r="A11" s="1">
        <v>2000</v>
      </c>
      <c r="B11" s="1">
        <v>20.198</v>
      </c>
      <c r="C11" s="1">
        <v>5.3</v>
      </c>
      <c r="D11" s="1"/>
    </row>
    <row r="12" spans="1:4" x14ac:dyDescent="0.3">
      <c r="A12" s="1">
        <v>2001</v>
      </c>
      <c r="B12" s="1">
        <v>20.422000000000001</v>
      </c>
      <c r="C12" s="1">
        <v>5.3</v>
      </c>
      <c r="D12" s="1"/>
    </row>
    <row r="13" spans="1:4" x14ac:dyDescent="0.3">
      <c r="A13" s="1">
        <v>2002</v>
      </c>
      <c r="B13" s="1">
        <v>20.760999999999999</v>
      </c>
      <c r="C13" s="1">
        <v>5.4</v>
      </c>
      <c r="D13" s="1"/>
    </row>
    <row r="14" spans="1:4" x14ac:dyDescent="0.3">
      <c r="A14" s="1">
        <v>2003</v>
      </c>
      <c r="B14" s="1">
        <v>20.855</v>
      </c>
      <c r="C14" s="1">
        <v>5.4</v>
      </c>
      <c r="D14" s="1"/>
    </row>
    <row r="15" spans="1:4" x14ac:dyDescent="0.3">
      <c r="A15" s="1">
        <v>2004</v>
      </c>
      <c r="B15" s="1">
        <v>20.988</v>
      </c>
      <c r="C15" s="1">
        <v>5.3</v>
      </c>
      <c r="D15" s="1"/>
    </row>
    <row r="16" spans="1:4" x14ac:dyDescent="0.3">
      <c r="A16" s="1">
        <v>2005</v>
      </c>
      <c r="B16" s="1">
        <v>21.117000000000001</v>
      </c>
      <c r="C16" s="1">
        <v>5.3</v>
      </c>
      <c r="D16" s="1"/>
    </row>
    <row r="17" spans="1:4" x14ac:dyDescent="0.3">
      <c r="A17" s="1">
        <v>2006</v>
      </c>
      <c r="B17" s="1">
        <v>21.472000000000001</v>
      </c>
      <c r="C17" s="1">
        <v>5.3</v>
      </c>
      <c r="D17" s="1"/>
    </row>
    <row r="18" spans="1:4" x14ac:dyDescent="0.3">
      <c r="A18" s="1">
        <v>2007</v>
      </c>
      <c r="B18" s="1">
        <v>21.863</v>
      </c>
      <c r="C18" s="1">
        <v>5.3</v>
      </c>
      <c r="D18" s="1"/>
    </row>
    <row r="19" spans="1:4" x14ac:dyDescent="0.3">
      <c r="A19" s="1">
        <v>2008</v>
      </c>
      <c r="B19" s="1">
        <v>22.417000000000002</v>
      </c>
      <c r="C19" s="1">
        <v>5.3</v>
      </c>
      <c r="D19" s="1"/>
    </row>
    <row r="20" spans="1:4" x14ac:dyDescent="0.3">
      <c r="A20" s="1">
        <v>2009</v>
      </c>
      <c r="B20" s="1">
        <v>22.861999999999998</v>
      </c>
      <c r="C20" s="1">
        <v>5.4</v>
      </c>
      <c r="D20" s="1"/>
    </row>
    <row r="21" spans="1:4" x14ac:dyDescent="0.3">
      <c r="A21" s="1">
        <v>2010</v>
      </c>
      <c r="B21" s="1">
        <v>23.298999999999999</v>
      </c>
      <c r="C21" s="1">
        <v>5.4</v>
      </c>
      <c r="D21" s="1"/>
    </row>
    <row r="22" spans="1:4" x14ac:dyDescent="0.3">
      <c r="A22" s="1">
        <v>2011</v>
      </c>
      <c r="B22" s="1">
        <v>23.640999999999998</v>
      </c>
      <c r="C22" s="1">
        <v>5.5</v>
      </c>
      <c r="D22" s="1"/>
    </row>
    <row r="23" spans="1:4" x14ac:dyDescent="0.3">
      <c r="A23" s="1">
        <v>2012</v>
      </c>
      <c r="B23" s="1">
        <v>24.135000000000002</v>
      </c>
      <c r="C23" s="1">
        <v>5.6</v>
      </c>
      <c r="D23" s="1"/>
    </row>
    <row r="24" spans="1:4" x14ac:dyDescent="0.3">
      <c r="A24" s="1">
        <v>2013</v>
      </c>
      <c r="B24" s="1">
        <v>24.472999999999999</v>
      </c>
      <c r="C24" s="1">
        <v>5.6</v>
      </c>
      <c r="D24" s="1"/>
    </row>
    <row r="25" spans="1:4" x14ac:dyDescent="0.3">
      <c r="A25" s="1">
        <v>2014</v>
      </c>
      <c r="B25" s="1">
        <v>24.709</v>
      </c>
      <c r="C25" s="1">
        <v>5.4</v>
      </c>
      <c r="D25" s="1"/>
    </row>
    <row r="26" spans="1:4" x14ac:dyDescent="0.3">
      <c r="A26" s="1">
        <v>2015</v>
      </c>
      <c r="B26" s="1">
        <v>24.959</v>
      </c>
      <c r="C26" s="1">
        <v>5.4</v>
      </c>
      <c r="D26" s="1"/>
    </row>
    <row r="27" spans="1:4" x14ac:dyDescent="0.3">
      <c r="A27" s="1">
        <v>2016</v>
      </c>
      <c r="B27" s="1">
        <v>25.23</v>
      </c>
      <c r="C27" s="1">
        <v>5.3</v>
      </c>
      <c r="D27" s="1"/>
    </row>
    <row r="28" spans="1:4" x14ac:dyDescent="0.3">
      <c r="A28" s="1">
        <v>2017</v>
      </c>
      <c r="B28" s="1">
        <v>25.591000000000001</v>
      </c>
      <c r="C28" s="1">
        <v>5.4</v>
      </c>
      <c r="D28" s="1"/>
    </row>
    <row r="29" spans="1:4" x14ac:dyDescent="0.3">
      <c r="A29" s="1">
        <v>2018</v>
      </c>
      <c r="B29" s="1">
        <v>26.003</v>
      </c>
      <c r="C29" s="1">
        <v>5.3</v>
      </c>
      <c r="D29" s="1"/>
    </row>
    <row r="30" spans="1:4" x14ac:dyDescent="0.3">
      <c r="A30" s="1">
        <v>2019</v>
      </c>
      <c r="B30" s="1">
        <v>22.946999999999999</v>
      </c>
      <c r="C30" s="1">
        <v>5.3</v>
      </c>
      <c r="D30" s="1"/>
    </row>
    <row r="31" spans="1:4" x14ac:dyDescent="0.3">
      <c r="A31" s="1">
        <v>2020</v>
      </c>
      <c r="B31" s="1">
        <v>24.666</v>
      </c>
      <c r="C31" s="1">
        <v>7.1</v>
      </c>
      <c r="D31" s="1" t="s">
        <v>4</v>
      </c>
    </row>
    <row r="32" spans="1:4" x14ac:dyDescent="0.3">
      <c r="A32" s="1">
        <v>2021</v>
      </c>
      <c r="B32" s="1">
        <v>20.824000000000002</v>
      </c>
      <c r="C32" s="1">
        <v>6.8</v>
      </c>
      <c r="D32" s="1"/>
    </row>
    <row r="33" spans="1:4" x14ac:dyDescent="0.3">
      <c r="A33" s="1">
        <v>2022</v>
      </c>
      <c r="B33" s="1">
        <v>17.731999999999999</v>
      </c>
      <c r="C33" s="1">
        <v>6.3</v>
      </c>
      <c r="D33" s="1" t="s">
        <v>5</v>
      </c>
    </row>
    <row r="34" spans="1:4" x14ac:dyDescent="0.3">
      <c r="A34" s="1">
        <v>2023</v>
      </c>
      <c r="B34" s="1">
        <v>15.595000000000001</v>
      </c>
      <c r="C34" s="1">
        <v>5.0999999999999996</v>
      </c>
      <c r="D34" s="1"/>
    </row>
    <row r="35" spans="1:4" x14ac:dyDescent="0.3">
      <c r="A35" s="1">
        <v>2024</v>
      </c>
      <c r="B35" s="1">
        <v>15.746</v>
      </c>
      <c r="C35" s="1">
        <v>4.9000000000000004</v>
      </c>
      <c r="D35" s="1" t="s">
        <v>6</v>
      </c>
    </row>
    <row r="36" spans="1:4" x14ac:dyDescent="0.3">
      <c r="A36" s="1">
        <v>2025</v>
      </c>
      <c r="B36" s="1">
        <v>16.021999999999998</v>
      </c>
      <c r="C36" s="1">
        <v>5.3</v>
      </c>
      <c r="D36" s="1"/>
    </row>
    <row r="37" spans="1:4" x14ac:dyDescent="0.3">
      <c r="A37" s="1">
        <v>2026</v>
      </c>
      <c r="B37" s="1">
        <v>15.2</v>
      </c>
      <c r="C37" s="1">
        <v>5.0999999999999996</v>
      </c>
      <c r="D3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097D-3440-4788-9F4C-BA5402C03A7A}">
  <dimension ref="A1:N28"/>
  <sheetViews>
    <sheetView topLeftCell="A3" workbookViewId="0">
      <selection activeCell="E21" sqref="E21"/>
    </sheetView>
  </sheetViews>
  <sheetFormatPr defaultRowHeight="14.4" x14ac:dyDescent="0.3"/>
  <cols>
    <col min="2" max="2" width="17.33203125" customWidth="1"/>
    <col min="3" max="3" width="21.33203125" customWidth="1"/>
    <col min="10" max="10" width="10.44140625" customWidth="1"/>
    <col min="14" max="14" width="12.33203125" customWidth="1"/>
  </cols>
  <sheetData>
    <row r="1" spans="1:14" x14ac:dyDescent="0.3">
      <c r="A1" s="7" t="s">
        <v>0</v>
      </c>
      <c r="B1" s="7" t="s">
        <v>7</v>
      </c>
      <c r="C1" s="7" t="s">
        <v>3</v>
      </c>
    </row>
    <row r="2" spans="1:14" x14ac:dyDescent="0.3">
      <c r="A2" s="1">
        <v>2000</v>
      </c>
      <c r="B2" s="1">
        <v>7.6</v>
      </c>
      <c r="C2" s="1"/>
    </row>
    <row r="3" spans="1:14" x14ac:dyDescent="0.3">
      <c r="A3" s="1">
        <v>2001</v>
      </c>
      <c r="B3" s="1">
        <v>4.82</v>
      </c>
      <c r="C3" s="1"/>
    </row>
    <row r="4" spans="1:14" x14ac:dyDescent="0.3">
      <c r="A4" s="1">
        <v>2002</v>
      </c>
      <c r="B4" s="1">
        <v>3.8</v>
      </c>
      <c r="C4" s="1"/>
    </row>
    <row r="5" spans="1:14" x14ac:dyDescent="0.3">
      <c r="A5" s="1">
        <v>2003</v>
      </c>
      <c r="B5" s="1">
        <v>7.86</v>
      </c>
      <c r="C5" s="1"/>
    </row>
    <row r="6" spans="1:14" x14ac:dyDescent="0.3">
      <c r="A6" s="1">
        <v>2004</v>
      </c>
      <c r="B6" s="1">
        <v>7.92</v>
      </c>
      <c r="C6" s="1"/>
    </row>
    <row r="7" spans="1:14" x14ac:dyDescent="0.3">
      <c r="A7" s="1">
        <v>2005</v>
      </c>
      <c r="B7" s="1">
        <v>9.2799999999999994</v>
      </c>
      <c r="C7" s="1"/>
    </row>
    <row r="8" spans="1:14" x14ac:dyDescent="0.3">
      <c r="A8" s="1">
        <v>2006</v>
      </c>
      <c r="B8" s="1">
        <v>9.26</v>
      </c>
      <c r="C8" s="1"/>
    </row>
    <row r="9" spans="1:14" x14ac:dyDescent="0.3">
      <c r="A9" s="1">
        <v>2007</v>
      </c>
      <c r="B9" s="1">
        <v>7.66</v>
      </c>
      <c r="C9" s="1"/>
    </row>
    <row r="10" spans="1:14" x14ac:dyDescent="0.3">
      <c r="A10" s="1">
        <v>2008</v>
      </c>
      <c r="B10" s="1">
        <v>3.09</v>
      </c>
      <c r="C10" s="1" t="s">
        <v>8</v>
      </c>
      <c r="J10" s="9" t="s">
        <v>64</v>
      </c>
      <c r="K10" s="9"/>
      <c r="L10" s="9"/>
      <c r="M10" s="9"/>
      <c r="N10" s="9"/>
    </row>
    <row r="11" spans="1:14" x14ac:dyDescent="0.3">
      <c r="A11" s="1">
        <v>2009</v>
      </c>
      <c r="B11" s="1">
        <v>7.86</v>
      </c>
      <c r="C11" s="1"/>
    </row>
    <row r="12" spans="1:14" x14ac:dyDescent="0.3">
      <c r="A12" s="1">
        <v>2010</v>
      </c>
      <c r="B12" s="1">
        <v>8.5</v>
      </c>
      <c r="C12" s="1"/>
    </row>
    <row r="13" spans="1:14" x14ac:dyDescent="0.3">
      <c r="A13" s="1">
        <v>2011</v>
      </c>
      <c r="B13" s="1">
        <v>5.24</v>
      </c>
      <c r="C13" s="1"/>
    </row>
    <row r="14" spans="1:14" x14ac:dyDescent="0.3">
      <c r="A14" s="1">
        <v>2012</v>
      </c>
      <c r="B14" s="1">
        <v>5.46</v>
      </c>
      <c r="C14" s="1"/>
    </row>
    <row r="15" spans="1:14" x14ac:dyDescent="0.3">
      <c r="A15" s="1">
        <v>2013</v>
      </c>
      <c r="B15" s="1">
        <v>6.39</v>
      </c>
      <c r="C15" s="1"/>
    </row>
    <row r="16" spans="1:14" x14ac:dyDescent="0.3">
      <c r="A16" s="1">
        <v>2014</v>
      </c>
      <c r="B16" s="1">
        <v>7.41</v>
      </c>
      <c r="C16" s="1"/>
    </row>
    <row r="17" spans="1:3" x14ac:dyDescent="0.3">
      <c r="A17" s="1">
        <v>2015</v>
      </c>
      <c r="B17" s="1">
        <v>8</v>
      </c>
      <c r="C17" s="1"/>
    </row>
    <row r="18" spans="1:3" x14ac:dyDescent="0.3">
      <c r="A18" s="1">
        <v>2016</v>
      </c>
      <c r="B18" s="1">
        <v>8.26</v>
      </c>
      <c r="C18" s="1"/>
    </row>
    <row r="19" spans="1:3" x14ac:dyDescent="0.3">
      <c r="A19" s="1">
        <v>2017</v>
      </c>
      <c r="B19" s="1">
        <v>6.8</v>
      </c>
      <c r="C19" s="1" t="s">
        <v>9</v>
      </c>
    </row>
    <row r="20" spans="1:3" x14ac:dyDescent="0.3">
      <c r="A20" s="1">
        <v>2018</v>
      </c>
      <c r="B20" s="1">
        <v>6.45</v>
      </c>
      <c r="C20" s="1"/>
    </row>
    <row r="21" spans="1:3" x14ac:dyDescent="0.3">
      <c r="A21" s="1">
        <v>2019</v>
      </c>
      <c r="B21" s="1">
        <v>3.87</v>
      </c>
      <c r="C21" s="1" t="s">
        <v>10</v>
      </c>
    </row>
    <row r="22" spans="1:3" x14ac:dyDescent="0.3">
      <c r="A22" s="1">
        <v>2020</v>
      </c>
      <c r="B22" s="1">
        <v>-5.78</v>
      </c>
      <c r="C22" s="1" t="s">
        <v>11</v>
      </c>
    </row>
    <row r="23" spans="1:3" x14ac:dyDescent="0.3">
      <c r="A23" s="1">
        <v>2021</v>
      </c>
      <c r="B23" s="1">
        <v>9.69</v>
      </c>
      <c r="C23" s="1" t="s">
        <v>12</v>
      </c>
    </row>
    <row r="24" spans="1:3" x14ac:dyDescent="0.3">
      <c r="A24" s="1">
        <v>2022</v>
      </c>
      <c r="B24" s="1">
        <v>6.99</v>
      </c>
      <c r="C24" s="1"/>
    </row>
    <row r="25" spans="1:3" x14ac:dyDescent="0.3">
      <c r="A25" s="1">
        <v>2023</v>
      </c>
      <c r="B25" s="1">
        <v>8.15</v>
      </c>
      <c r="C25" s="1"/>
    </row>
    <row r="26" spans="1:3" x14ac:dyDescent="0.3">
      <c r="A26" s="1">
        <v>2024</v>
      </c>
      <c r="B26" s="1">
        <v>6.5</v>
      </c>
      <c r="C26" s="1"/>
    </row>
    <row r="27" spans="1:3" x14ac:dyDescent="0.3">
      <c r="A27" s="1">
        <v>2025</v>
      </c>
      <c r="B27" s="1">
        <v>7.6</v>
      </c>
      <c r="C27" s="1"/>
    </row>
    <row r="28" spans="1:3" x14ac:dyDescent="0.3">
      <c r="A28" s="8">
        <v>2026</v>
      </c>
      <c r="B28" s="8">
        <v>6.8</v>
      </c>
      <c r="C28" s="8"/>
    </row>
  </sheetData>
  <mergeCells count="1">
    <mergeCell ref="J10:N1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F8E5-7FF2-4538-A3BD-4C86DB7D9DD3}">
  <dimension ref="A1:C28"/>
  <sheetViews>
    <sheetView workbookViewId="0">
      <selection activeCell="C28" sqref="C28"/>
    </sheetView>
  </sheetViews>
  <sheetFormatPr defaultRowHeight="14.4" x14ac:dyDescent="0.3"/>
  <cols>
    <col min="2" max="2" width="19.21875" customWidth="1"/>
    <col min="3" max="3" width="22.88671875" bestFit="1" customWidth="1"/>
  </cols>
  <sheetData>
    <row r="1" spans="1:3" x14ac:dyDescent="0.3">
      <c r="A1" s="1" t="s">
        <v>0</v>
      </c>
      <c r="B1" s="1" t="s">
        <v>13</v>
      </c>
      <c r="C1" s="1" t="s">
        <v>14</v>
      </c>
    </row>
    <row r="2" spans="1:3" x14ac:dyDescent="0.3">
      <c r="A2" s="1">
        <v>2000</v>
      </c>
      <c r="B2" s="1">
        <v>4.01</v>
      </c>
      <c r="C2" s="1"/>
    </row>
    <row r="3" spans="1:3" x14ac:dyDescent="0.3">
      <c r="A3" s="1">
        <v>2001</v>
      </c>
      <c r="B3" s="1">
        <v>3.78</v>
      </c>
      <c r="C3" s="1"/>
    </row>
    <row r="4" spans="1:3" x14ac:dyDescent="0.3">
      <c r="A4" s="1">
        <v>2002</v>
      </c>
      <c r="B4" s="1">
        <v>4.3</v>
      </c>
      <c r="C4" s="1"/>
    </row>
    <row r="5" spans="1:3" x14ac:dyDescent="0.3">
      <c r="A5" s="1">
        <v>2003</v>
      </c>
      <c r="B5" s="1">
        <v>3.81</v>
      </c>
      <c r="C5" s="1"/>
    </row>
    <row r="6" spans="1:3" x14ac:dyDescent="0.3">
      <c r="A6" s="1">
        <v>2004</v>
      </c>
      <c r="B6" s="1">
        <v>3.77</v>
      </c>
      <c r="C6" s="1"/>
    </row>
    <row r="7" spans="1:3" x14ac:dyDescent="0.3">
      <c r="A7" s="1">
        <v>2005</v>
      </c>
      <c r="B7" s="1">
        <v>4.25</v>
      </c>
      <c r="C7" s="1"/>
    </row>
    <row r="8" spans="1:3" x14ac:dyDescent="0.3">
      <c r="A8" s="1">
        <v>2006</v>
      </c>
      <c r="B8" s="1">
        <v>5.8</v>
      </c>
      <c r="C8" s="1"/>
    </row>
    <row r="9" spans="1:3" x14ac:dyDescent="0.3">
      <c r="A9" s="1">
        <v>2007</v>
      </c>
      <c r="B9" s="1">
        <v>6.37</v>
      </c>
      <c r="C9" s="1"/>
    </row>
    <row r="10" spans="1:3" x14ac:dyDescent="0.3">
      <c r="A10" s="1">
        <v>2008</v>
      </c>
      <c r="B10" s="1">
        <v>8.35</v>
      </c>
      <c r="C10" s="1" t="s">
        <v>15</v>
      </c>
    </row>
    <row r="11" spans="1:3" x14ac:dyDescent="0.3">
      <c r="A11" s="1">
        <v>2009</v>
      </c>
      <c r="B11" s="1">
        <v>10.88</v>
      </c>
      <c r="C11" s="1" t="s">
        <v>16</v>
      </c>
    </row>
    <row r="12" spans="1:3" x14ac:dyDescent="0.3">
      <c r="A12" s="1">
        <v>2010</v>
      </c>
      <c r="B12" s="1">
        <v>11.99</v>
      </c>
      <c r="C12" s="5" t="s">
        <v>17</v>
      </c>
    </row>
    <row r="13" spans="1:3" x14ac:dyDescent="0.3">
      <c r="A13" s="1">
        <v>2011</v>
      </c>
      <c r="B13" s="1">
        <v>8.86</v>
      </c>
      <c r="C13" s="1"/>
    </row>
    <row r="14" spans="1:3" x14ac:dyDescent="0.3">
      <c r="A14" s="1">
        <v>2012</v>
      </c>
      <c r="B14" s="1">
        <v>9.31</v>
      </c>
      <c r="C14" s="1"/>
    </row>
    <row r="15" spans="1:3" x14ac:dyDescent="0.3">
      <c r="A15" s="1">
        <v>2013</v>
      </c>
      <c r="B15" s="1">
        <v>10.91</v>
      </c>
      <c r="C15" s="1"/>
    </row>
    <row r="16" spans="1:3" x14ac:dyDescent="0.3">
      <c r="A16" s="1">
        <v>2014</v>
      </c>
      <c r="B16" s="1">
        <v>6.37</v>
      </c>
      <c r="C16" s="1"/>
    </row>
    <row r="17" spans="1:3" x14ac:dyDescent="0.3">
      <c r="A17" s="1">
        <v>2015</v>
      </c>
      <c r="B17" s="1">
        <v>4.91</v>
      </c>
      <c r="C17" s="1"/>
    </row>
    <row r="18" spans="1:3" x14ac:dyDescent="0.3">
      <c r="A18" s="1">
        <v>2016</v>
      </c>
      <c r="B18" s="1">
        <v>4.9400000000000004</v>
      </c>
      <c r="C18" s="1"/>
    </row>
    <row r="19" spans="1:3" x14ac:dyDescent="0.3">
      <c r="A19" s="1">
        <v>2017</v>
      </c>
      <c r="B19" s="1">
        <v>3.33</v>
      </c>
      <c r="C19" s="1" t="s">
        <v>18</v>
      </c>
    </row>
    <row r="20" spans="1:3" x14ac:dyDescent="0.3">
      <c r="A20" s="1">
        <v>2018</v>
      </c>
      <c r="B20" s="1">
        <v>3.94</v>
      </c>
      <c r="C20" s="1"/>
    </row>
    <row r="21" spans="1:3" x14ac:dyDescent="0.3">
      <c r="A21" s="1">
        <v>2019</v>
      </c>
      <c r="B21" s="1">
        <v>3.73</v>
      </c>
      <c r="C21" s="1"/>
    </row>
    <row r="22" spans="1:3" x14ac:dyDescent="0.3">
      <c r="A22" s="1">
        <v>2020</v>
      </c>
      <c r="B22" s="1">
        <v>6.62</v>
      </c>
      <c r="C22" s="6" t="s">
        <v>19</v>
      </c>
    </row>
    <row r="23" spans="1:3" x14ac:dyDescent="0.3">
      <c r="A23" s="1">
        <v>2021</v>
      </c>
      <c r="B23" s="1">
        <v>5.13</v>
      </c>
      <c r="C23" s="1"/>
    </row>
    <row r="24" spans="1:3" x14ac:dyDescent="0.3">
      <c r="A24" s="1">
        <v>2022</v>
      </c>
      <c r="B24" s="1">
        <v>6.7</v>
      </c>
      <c r="C24" s="1" t="s">
        <v>20</v>
      </c>
    </row>
    <row r="25" spans="1:3" x14ac:dyDescent="0.3">
      <c r="A25" s="1">
        <v>2023</v>
      </c>
      <c r="B25" s="1">
        <v>5.65</v>
      </c>
      <c r="C25" s="1"/>
    </row>
    <row r="26" spans="1:3" x14ac:dyDescent="0.3">
      <c r="A26" s="1">
        <v>2024</v>
      </c>
      <c r="B26" s="1">
        <v>4.8499999999999996</v>
      </c>
      <c r="C26" s="1"/>
    </row>
    <row r="27" spans="1:3" x14ac:dyDescent="0.3">
      <c r="A27" s="1">
        <v>2025</v>
      </c>
      <c r="B27" s="1">
        <v>2.1</v>
      </c>
      <c r="C27" s="4" t="s">
        <v>21</v>
      </c>
    </row>
    <row r="28" spans="1:3" x14ac:dyDescent="0.3">
      <c r="A28" s="1">
        <v>2026</v>
      </c>
      <c r="B28" s="1">
        <v>3.34</v>
      </c>
      <c r="C28" s="1" t="s">
        <v>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5D1E-F417-497D-831B-5234E1CB4737}">
  <dimension ref="A1:F34"/>
  <sheetViews>
    <sheetView tabSelected="1" workbookViewId="0"/>
  </sheetViews>
  <sheetFormatPr defaultRowHeight="14.4" x14ac:dyDescent="0.3"/>
  <cols>
    <col min="1" max="1" width="18.6640625" bestFit="1" customWidth="1"/>
    <col min="2" max="2" width="27.88671875" customWidth="1"/>
    <col min="3" max="3" width="29.109375" customWidth="1"/>
    <col min="4" max="4" width="28.44140625" customWidth="1"/>
    <col min="5" max="5" width="20.21875" customWidth="1"/>
    <col min="6" max="6" width="20.109375" customWidth="1"/>
  </cols>
  <sheetData>
    <row r="1" spans="1:6" x14ac:dyDescent="0.3">
      <c r="A1" t="s">
        <v>66</v>
      </c>
      <c r="B1" t="s">
        <v>1</v>
      </c>
      <c r="C1" t="s">
        <v>2</v>
      </c>
      <c r="D1" t="s">
        <v>67</v>
      </c>
      <c r="E1" t="s">
        <v>68</v>
      </c>
      <c r="F1" t="s">
        <v>69</v>
      </c>
    </row>
    <row r="2" spans="1:6" x14ac:dyDescent="0.3">
      <c r="A2" s="10" t="s">
        <v>70</v>
      </c>
      <c r="B2" s="10">
        <v>18.2</v>
      </c>
      <c r="C2" s="10">
        <v>6.1</v>
      </c>
      <c r="D2" s="10">
        <v>10.199999999999999</v>
      </c>
      <c r="E2" s="10">
        <v>67.400000000000006</v>
      </c>
      <c r="F2" s="10">
        <v>53.9</v>
      </c>
    </row>
    <row r="3" spans="1:6" x14ac:dyDescent="0.3">
      <c r="A3" s="10" t="s">
        <v>71</v>
      </c>
      <c r="B3" s="10">
        <v>21.4</v>
      </c>
      <c r="C3" s="10">
        <v>8.3000000000000007</v>
      </c>
      <c r="D3" s="10">
        <v>8.1</v>
      </c>
      <c r="E3" s="10">
        <v>65.400000000000006</v>
      </c>
      <c r="F3" s="10">
        <v>1.6</v>
      </c>
    </row>
    <row r="4" spans="1:6" x14ac:dyDescent="0.3">
      <c r="A4" s="10" t="s">
        <v>72</v>
      </c>
      <c r="B4" s="10">
        <v>22.1</v>
      </c>
      <c r="C4" s="10">
        <v>7.8</v>
      </c>
      <c r="D4" s="10">
        <v>7.4</v>
      </c>
      <c r="E4" s="10">
        <v>72.2</v>
      </c>
      <c r="F4" s="10">
        <v>35.6</v>
      </c>
    </row>
    <row r="5" spans="1:6" x14ac:dyDescent="0.3">
      <c r="A5" s="10" t="s">
        <v>73</v>
      </c>
      <c r="B5" s="10">
        <v>32.1</v>
      </c>
      <c r="C5" s="10">
        <v>10.9</v>
      </c>
      <c r="D5" s="10">
        <v>3.1</v>
      </c>
      <c r="E5" s="10">
        <v>61.8</v>
      </c>
      <c r="F5" s="10">
        <v>128.5</v>
      </c>
    </row>
    <row r="6" spans="1:6" x14ac:dyDescent="0.3">
      <c r="A6" s="10" t="s">
        <v>74</v>
      </c>
      <c r="B6" s="10">
        <v>14.2</v>
      </c>
      <c r="C6" s="10">
        <v>5.0999999999999996</v>
      </c>
      <c r="D6" s="10">
        <v>8.9</v>
      </c>
      <c r="E6" s="10">
        <v>70.3</v>
      </c>
      <c r="F6" s="10">
        <v>32.200000000000003</v>
      </c>
    </row>
    <row r="7" spans="1:6" x14ac:dyDescent="0.3">
      <c r="A7" s="10" t="s">
        <v>75</v>
      </c>
      <c r="B7" s="10">
        <v>19.8</v>
      </c>
      <c r="C7" s="10">
        <v>7.2</v>
      </c>
      <c r="D7" s="10">
        <v>40.1</v>
      </c>
      <c r="E7" s="10">
        <v>88.7</v>
      </c>
      <c r="F7" s="10">
        <v>1.6</v>
      </c>
    </row>
    <row r="8" spans="1:6" x14ac:dyDescent="0.3">
      <c r="A8" s="10" t="s">
        <v>76</v>
      </c>
      <c r="B8" s="10">
        <v>8.1</v>
      </c>
      <c r="C8" s="10">
        <v>2.9</v>
      </c>
      <c r="D8" s="10">
        <v>19.8</v>
      </c>
      <c r="E8" s="10">
        <v>78</v>
      </c>
      <c r="F8" s="10">
        <v>70.400000000000006</v>
      </c>
    </row>
    <row r="9" spans="1:6" x14ac:dyDescent="0.3">
      <c r="A9" s="10" t="s">
        <v>77</v>
      </c>
      <c r="B9" s="10">
        <v>37.4</v>
      </c>
      <c r="C9" s="10">
        <v>8.8000000000000007</v>
      </c>
      <c r="D9" s="10">
        <v>22.1</v>
      </c>
      <c r="E9" s="10">
        <v>75.599999999999994</v>
      </c>
      <c r="F9" s="10">
        <v>30.5</v>
      </c>
    </row>
    <row r="10" spans="1:6" x14ac:dyDescent="0.3">
      <c r="A10" s="10" t="s">
        <v>78</v>
      </c>
      <c r="B10" s="10">
        <v>20.100000000000001</v>
      </c>
      <c r="C10" s="10">
        <v>7.4</v>
      </c>
      <c r="D10" s="10">
        <v>17.2</v>
      </c>
      <c r="E10" s="10">
        <v>82.8</v>
      </c>
      <c r="F10" s="10">
        <v>7.5</v>
      </c>
    </row>
    <row r="11" spans="1:6" x14ac:dyDescent="0.3">
      <c r="A11" s="10" t="s">
        <v>79</v>
      </c>
      <c r="B11" s="10">
        <v>28.4</v>
      </c>
      <c r="C11" s="10">
        <v>9.1999999999999993</v>
      </c>
      <c r="D11" s="10">
        <v>6.2</v>
      </c>
      <c r="E11" s="10">
        <v>66.400000000000006</v>
      </c>
      <c r="F11" s="10">
        <v>40.1</v>
      </c>
    </row>
    <row r="12" spans="1:6" x14ac:dyDescent="0.3">
      <c r="A12" s="10" t="s">
        <v>80</v>
      </c>
      <c r="B12" s="10">
        <v>19.399999999999999</v>
      </c>
      <c r="C12" s="10">
        <v>6.8</v>
      </c>
      <c r="D12" s="10">
        <v>18.899999999999999</v>
      </c>
      <c r="E12" s="10">
        <v>75.400000000000006</v>
      </c>
      <c r="F12" s="10">
        <v>67.599999999999994</v>
      </c>
    </row>
    <row r="13" spans="1:6" x14ac:dyDescent="0.3">
      <c r="A13" s="10" t="s">
        <v>81</v>
      </c>
      <c r="B13" s="10">
        <v>29.9</v>
      </c>
      <c r="C13" s="10">
        <v>9.4</v>
      </c>
      <c r="D13" s="10">
        <v>20.100000000000001</v>
      </c>
      <c r="E13" s="10">
        <v>94</v>
      </c>
      <c r="F13" s="10">
        <v>35.1</v>
      </c>
    </row>
    <row r="14" spans="1:6" x14ac:dyDescent="0.3">
      <c r="A14" s="10" t="s">
        <v>82</v>
      </c>
      <c r="B14" s="10">
        <v>11.2</v>
      </c>
      <c r="C14" s="10">
        <v>3.2</v>
      </c>
      <c r="D14" s="10">
        <v>8.1</v>
      </c>
      <c r="E14" s="10">
        <v>69.3</v>
      </c>
      <c r="F14" s="10">
        <v>85.4</v>
      </c>
    </row>
    <row r="15" spans="1:6" x14ac:dyDescent="0.3">
      <c r="A15" s="10" t="s">
        <v>83</v>
      </c>
      <c r="B15" s="10">
        <v>21.3</v>
      </c>
      <c r="C15" s="10">
        <v>7.1</v>
      </c>
      <c r="D15" s="10">
        <v>21.4</v>
      </c>
      <c r="E15" s="10">
        <v>82.3</v>
      </c>
      <c r="F15" s="10">
        <v>126.4</v>
      </c>
    </row>
    <row r="16" spans="1:6" x14ac:dyDescent="0.3">
      <c r="A16" s="10" t="s">
        <v>84</v>
      </c>
      <c r="B16" s="10">
        <v>24.6</v>
      </c>
      <c r="C16" s="10">
        <v>9.1</v>
      </c>
      <c r="D16" s="10">
        <v>6.8</v>
      </c>
      <c r="E16" s="10">
        <v>76.900000000000006</v>
      </c>
      <c r="F16" s="10">
        <v>3.2</v>
      </c>
    </row>
    <row r="17" spans="1:6" x14ac:dyDescent="0.3">
      <c r="A17" s="10" t="s">
        <v>85</v>
      </c>
      <c r="B17" s="10">
        <v>23.1</v>
      </c>
      <c r="C17" s="10">
        <v>8.4</v>
      </c>
      <c r="D17" s="10">
        <v>9.1999999999999993</v>
      </c>
      <c r="E17" s="10">
        <v>74.400000000000006</v>
      </c>
      <c r="F17" s="10">
        <v>3.7</v>
      </c>
    </row>
    <row r="18" spans="1:6" x14ac:dyDescent="0.3">
      <c r="A18" s="10" t="s">
        <v>86</v>
      </c>
      <c r="B18" s="10">
        <v>22.4</v>
      </c>
      <c r="C18" s="10">
        <v>8.1</v>
      </c>
      <c r="D18" s="10">
        <v>11.2</v>
      </c>
      <c r="E18" s="10">
        <v>91.3</v>
      </c>
      <c r="F18" s="10">
        <v>1.3</v>
      </c>
    </row>
    <row r="19" spans="1:6" x14ac:dyDescent="0.3">
      <c r="A19" s="10" t="s">
        <v>87</v>
      </c>
      <c r="B19" s="10">
        <v>26.3</v>
      </c>
      <c r="C19" s="10">
        <v>9.8000000000000007</v>
      </c>
      <c r="D19" s="10">
        <v>7.4</v>
      </c>
      <c r="E19" s="10">
        <v>79.599999999999994</v>
      </c>
      <c r="F19" s="10">
        <v>2.2000000000000002</v>
      </c>
    </row>
    <row r="20" spans="1:6" x14ac:dyDescent="0.3">
      <c r="A20" s="10" t="s">
        <v>88</v>
      </c>
      <c r="B20" s="10">
        <v>20.399999999999999</v>
      </c>
      <c r="C20" s="10">
        <v>6.9</v>
      </c>
      <c r="D20" s="10">
        <v>7.8</v>
      </c>
      <c r="E20" s="10">
        <v>72.900000000000006</v>
      </c>
      <c r="F20" s="10">
        <v>46.9</v>
      </c>
    </row>
    <row r="21" spans="1:6" x14ac:dyDescent="0.3">
      <c r="A21" s="10" t="s">
        <v>89</v>
      </c>
      <c r="B21" s="10">
        <v>28.1</v>
      </c>
      <c r="C21" s="10">
        <v>9.1</v>
      </c>
      <c r="D21" s="10">
        <v>18.2</v>
      </c>
      <c r="E21" s="10">
        <v>75.8</v>
      </c>
      <c r="F21" s="10">
        <v>30.1</v>
      </c>
    </row>
    <row r="22" spans="1:6" x14ac:dyDescent="0.3">
      <c r="A22" s="10" t="s">
        <v>90</v>
      </c>
      <c r="B22" s="10">
        <v>22.8</v>
      </c>
      <c r="C22" s="10">
        <v>7.4</v>
      </c>
      <c r="D22" s="10">
        <v>9.4</v>
      </c>
      <c r="E22" s="10">
        <v>66.099999999999994</v>
      </c>
      <c r="F22" s="10">
        <v>81</v>
      </c>
    </row>
    <row r="23" spans="1:6" x14ac:dyDescent="0.3">
      <c r="A23" s="10" t="s">
        <v>91</v>
      </c>
      <c r="B23" s="10">
        <v>18.2</v>
      </c>
      <c r="C23" s="10">
        <v>6.4</v>
      </c>
      <c r="D23" s="10">
        <v>24.1</v>
      </c>
      <c r="E23" s="10">
        <v>81.400000000000006</v>
      </c>
      <c r="F23" s="10">
        <v>0.7</v>
      </c>
    </row>
    <row r="24" spans="1:6" x14ac:dyDescent="0.3">
      <c r="A24" s="10" t="s">
        <v>92</v>
      </c>
      <c r="B24" s="10">
        <v>17.399999999999999</v>
      </c>
      <c r="C24" s="10">
        <v>5.8</v>
      </c>
      <c r="D24" s="10">
        <v>21.2</v>
      </c>
      <c r="E24" s="10">
        <v>80.099999999999994</v>
      </c>
      <c r="F24" s="10">
        <v>77.8</v>
      </c>
    </row>
    <row r="25" spans="1:6" x14ac:dyDescent="0.3">
      <c r="A25" s="10" t="s">
        <v>93</v>
      </c>
      <c r="B25" s="10">
        <v>19.100000000000001</v>
      </c>
      <c r="C25" s="10">
        <v>6.4</v>
      </c>
      <c r="D25" s="10">
        <v>19.399999999999999</v>
      </c>
      <c r="E25" s="10">
        <v>72.8</v>
      </c>
      <c r="F25" s="10">
        <v>39.1</v>
      </c>
    </row>
    <row r="26" spans="1:6" x14ac:dyDescent="0.3">
      <c r="A26" s="10" t="s">
        <v>94</v>
      </c>
      <c r="B26" s="10">
        <v>24.8</v>
      </c>
      <c r="C26" s="10">
        <v>8.9</v>
      </c>
      <c r="D26" s="10">
        <v>8.4</v>
      </c>
      <c r="E26" s="10">
        <v>87.2</v>
      </c>
      <c r="F26" s="10">
        <v>4.2</v>
      </c>
    </row>
    <row r="27" spans="1:6" x14ac:dyDescent="0.3">
      <c r="A27" s="10" t="s">
        <v>95</v>
      </c>
      <c r="B27" s="10">
        <v>26.4</v>
      </c>
      <c r="C27" s="10">
        <v>8.1</v>
      </c>
      <c r="D27" s="10">
        <v>6.8</v>
      </c>
      <c r="E27" s="10">
        <v>67.7</v>
      </c>
      <c r="F27" s="10">
        <v>235.7</v>
      </c>
    </row>
    <row r="28" spans="1:6" x14ac:dyDescent="0.3">
      <c r="A28" s="10" t="s">
        <v>96</v>
      </c>
      <c r="B28" s="10">
        <v>21.8</v>
      </c>
      <c r="C28" s="10">
        <v>7.2</v>
      </c>
      <c r="D28" s="10">
        <v>15.2</v>
      </c>
      <c r="E28" s="10">
        <v>78.8</v>
      </c>
      <c r="F28" s="10">
        <v>11.4</v>
      </c>
    </row>
    <row r="29" spans="1:6" x14ac:dyDescent="0.3">
      <c r="A29" s="10" t="s">
        <v>97</v>
      </c>
      <c r="B29" s="10">
        <v>24.1</v>
      </c>
      <c r="C29" s="10">
        <v>7.8</v>
      </c>
      <c r="D29" s="10">
        <v>11.2</v>
      </c>
      <c r="E29" s="10">
        <v>76.3</v>
      </c>
      <c r="F29" s="10">
        <v>99.6</v>
      </c>
    </row>
    <row r="30" spans="1:6" x14ac:dyDescent="0.3">
      <c r="A30" s="10" t="s">
        <v>98</v>
      </c>
      <c r="B30" s="10">
        <v>24.8</v>
      </c>
      <c r="C30" s="10">
        <v>8.1999999999999993</v>
      </c>
      <c r="D30" s="10">
        <v>46.2</v>
      </c>
      <c r="E30" s="10">
        <v>86.2</v>
      </c>
      <c r="F30" s="10">
        <v>19.8</v>
      </c>
    </row>
    <row r="31" spans="1:6" x14ac:dyDescent="0.3">
      <c r="A31" s="10" t="s">
        <v>99</v>
      </c>
      <c r="B31" s="10">
        <v>28.4</v>
      </c>
      <c r="C31" s="10">
        <v>9.8000000000000007</v>
      </c>
      <c r="D31" s="10">
        <v>9.4</v>
      </c>
      <c r="E31" s="10">
        <v>67.2</v>
      </c>
      <c r="F31" s="10">
        <v>13.6</v>
      </c>
    </row>
    <row r="32" spans="1:6" x14ac:dyDescent="0.3">
      <c r="A32" s="10" t="s">
        <v>100</v>
      </c>
      <c r="B32" s="10">
        <v>36.200000000000003</v>
      </c>
      <c r="C32" s="10">
        <v>12.1</v>
      </c>
      <c r="D32" s="10">
        <v>18.399999999999999</v>
      </c>
      <c r="E32" s="10">
        <v>91.8</v>
      </c>
      <c r="F32" s="10">
        <v>7.0000000000000007E-2</v>
      </c>
    </row>
    <row r="33" spans="1:6" x14ac:dyDescent="0.3">
      <c r="A33" s="10" t="s">
        <v>101</v>
      </c>
      <c r="B33" s="10">
        <v>33.6</v>
      </c>
      <c r="C33" s="10">
        <v>11.2</v>
      </c>
      <c r="D33" s="10">
        <v>22.4</v>
      </c>
      <c r="E33" s="10">
        <v>86.3</v>
      </c>
      <c r="F33" s="10">
        <v>0.4</v>
      </c>
    </row>
    <row r="34" spans="1:6" x14ac:dyDescent="0.3">
      <c r="A34" s="10" t="s">
        <v>102</v>
      </c>
      <c r="B34" s="10">
        <v>22.1</v>
      </c>
      <c r="C34" s="10">
        <v>7.8</v>
      </c>
      <c r="D34" s="10">
        <v>52.1</v>
      </c>
      <c r="E34" s="10">
        <v>86.1</v>
      </c>
      <c r="F34" s="10">
        <v>1.2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73B6-89BE-4691-AD29-8EC5D1A48896}">
  <dimension ref="A1:G13"/>
  <sheetViews>
    <sheetView workbookViewId="0">
      <selection activeCell="F17" sqref="F17"/>
    </sheetView>
  </sheetViews>
  <sheetFormatPr defaultRowHeight="14.4" x14ac:dyDescent="0.3"/>
  <cols>
    <col min="1" max="1" width="10.6640625" bestFit="1" customWidth="1"/>
    <col min="2" max="2" width="7.5546875" bestFit="1" customWidth="1"/>
    <col min="3" max="3" width="14.21875" bestFit="1" customWidth="1"/>
    <col min="4" max="4" width="13.109375" bestFit="1" customWidth="1"/>
    <col min="5" max="5" width="12.44140625" bestFit="1" customWidth="1"/>
    <col min="6" max="6" width="15.5546875" bestFit="1" customWidth="1"/>
    <col min="7" max="7" width="15.88671875" bestFit="1" customWidth="1"/>
  </cols>
  <sheetData>
    <row r="1" spans="1:7" x14ac:dyDescent="0.3">
      <c r="A1" s="1" t="s">
        <v>22</v>
      </c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">
      <c r="A2" s="1" t="s">
        <v>28</v>
      </c>
      <c r="B2" s="1">
        <v>2025</v>
      </c>
      <c r="C2" s="1">
        <v>5.4</v>
      </c>
      <c r="D2" s="1">
        <v>6.5</v>
      </c>
      <c r="E2" s="1">
        <v>4.2</v>
      </c>
      <c r="F2" s="1"/>
      <c r="G2" s="1" t="str">
        <f>A2&amp;"  "&amp;B2</f>
        <v>April  2025</v>
      </c>
    </row>
    <row r="3" spans="1:7" x14ac:dyDescent="0.3">
      <c r="A3" s="1" t="s">
        <v>29</v>
      </c>
      <c r="B3" s="1">
        <v>2025</v>
      </c>
      <c r="C3" s="1">
        <v>5.5</v>
      </c>
      <c r="D3" s="1">
        <v>6.6</v>
      </c>
      <c r="E3" s="1">
        <v>4.3</v>
      </c>
      <c r="F3" s="1"/>
      <c r="G3" s="1" t="str">
        <f t="shared" ref="G3:G13" si="0">A3&amp;"  "&amp;B3</f>
        <v>May  2025</v>
      </c>
    </row>
    <row r="4" spans="1:7" x14ac:dyDescent="0.3">
      <c r="A4" s="1" t="s">
        <v>30</v>
      </c>
      <c r="B4" s="1">
        <v>2025</v>
      </c>
      <c r="C4" s="1">
        <v>5.6</v>
      </c>
      <c r="D4" s="1">
        <v>6.9</v>
      </c>
      <c r="E4" s="1">
        <v>4.4000000000000004</v>
      </c>
      <c r="F4" s="3" t="s">
        <v>40</v>
      </c>
      <c r="G4" s="1" t="str">
        <f t="shared" si="0"/>
        <v>June  2025</v>
      </c>
    </row>
    <row r="5" spans="1:7" x14ac:dyDescent="0.3">
      <c r="A5" s="1" t="s">
        <v>31</v>
      </c>
      <c r="B5" s="1">
        <v>2025</v>
      </c>
      <c r="C5" s="1">
        <v>5.2</v>
      </c>
      <c r="D5" s="1">
        <v>6.5</v>
      </c>
      <c r="E5" s="1">
        <v>4.0999999999999996</v>
      </c>
      <c r="F5" s="1"/>
      <c r="G5" s="1" t="str">
        <f t="shared" si="0"/>
        <v>July  2025</v>
      </c>
    </row>
    <row r="6" spans="1:7" x14ac:dyDescent="0.3">
      <c r="A6" s="1" t="s">
        <v>32</v>
      </c>
      <c r="B6" s="1">
        <v>2025</v>
      </c>
      <c r="C6" s="1">
        <v>5.3</v>
      </c>
      <c r="D6" s="1">
        <v>6.6</v>
      </c>
      <c r="E6" s="1">
        <v>4.2</v>
      </c>
      <c r="F6" s="1"/>
      <c r="G6" s="1" t="str">
        <f t="shared" si="0"/>
        <v>August  2025</v>
      </c>
    </row>
    <row r="7" spans="1:7" x14ac:dyDescent="0.3">
      <c r="A7" s="1" t="s">
        <v>33</v>
      </c>
      <c r="B7" s="1">
        <v>2025</v>
      </c>
      <c r="C7" s="1">
        <v>5.0999999999999996</v>
      </c>
      <c r="D7" s="1">
        <v>6.4</v>
      </c>
      <c r="E7" s="1">
        <v>4</v>
      </c>
      <c r="F7" s="1"/>
      <c r="G7" s="1" t="str">
        <f t="shared" si="0"/>
        <v>September  2025</v>
      </c>
    </row>
    <row r="8" spans="1:7" x14ac:dyDescent="0.3">
      <c r="A8" s="1" t="s">
        <v>34</v>
      </c>
      <c r="B8" s="1">
        <v>2025</v>
      </c>
      <c r="C8" s="1">
        <v>5.2</v>
      </c>
      <c r="D8" s="1">
        <v>6.5</v>
      </c>
      <c r="E8" s="1">
        <v>4.0999999999999996</v>
      </c>
      <c r="F8" s="1"/>
      <c r="G8" s="1" t="str">
        <f t="shared" si="0"/>
        <v>October  2025</v>
      </c>
    </row>
    <row r="9" spans="1:7" x14ac:dyDescent="0.3">
      <c r="A9" s="1" t="s">
        <v>35</v>
      </c>
      <c r="B9" s="1">
        <v>2025</v>
      </c>
      <c r="C9" s="1">
        <v>4.7</v>
      </c>
      <c r="D9" s="1">
        <v>6.1</v>
      </c>
      <c r="E9" s="1">
        <v>3.8</v>
      </c>
      <c r="F9" s="3" t="s">
        <v>41</v>
      </c>
      <c r="G9" s="1" t="str">
        <f t="shared" si="0"/>
        <v>November  2025</v>
      </c>
    </row>
    <row r="10" spans="1:7" x14ac:dyDescent="0.3">
      <c r="A10" s="1" t="s">
        <v>36</v>
      </c>
      <c r="B10" s="1">
        <v>2025</v>
      </c>
      <c r="C10" s="1">
        <v>4.8</v>
      </c>
      <c r="D10" s="1">
        <v>6.2</v>
      </c>
      <c r="E10" s="1">
        <v>3.8</v>
      </c>
      <c r="F10" s="1"/>
      <c r="G10" s="1" t="str">
        <f t="shared" si="0"/>
        <v>December  2025</v>
      </c>
    </row>
    <row r="11" spans="1:7" x14ac:dyDescent="0.3">
      <c r="A11" s="1" t="s">
        <v>37</v>
      </c>
      <c r="B11" s="1">
        <v>2026</v>
      </c>
      <c r="C11" s="1">
        <v>4.8</v>
      </c>
      <c r="D11" s="1">
        <v>6.3</v>
      </c>
      <c r="E11" s="1">
        <v>3.7</v>
      </c>
      <c r="F11" s="1"/>
      <c r="G11" s="1" t="str">
        <f t="shared" si="0"/>
        <v>January  2026</v>
      </c>
    </row>
    <row r="12" spans="1:7" x14ac:dyDescent="0.3">
      <c r="A12" s="1" t="s">
        <v>38</v>
      </c>
      <c r="B12" s="1">
        <v>2026</v>
      </c>
      <c r="C12" s="1">
        <v>4.9000000000000004</v>
      </c>
      <c r="D12" s="1">
        <v>6.5</v>
      </c>
      <c r="E12" s="1">
        <v>3.9</v>
      </c>
      <c r="F12" s="1"/>
      <c r="G12" s="1" t="str">
        <f t="shared" si="0"/>
        <v>February  2026</v>
      </c>
    </row>
    <row r="13" spans="1:7" x14ac:dyDescent="0.3">
      <c r="A13" s="1" t="s">
        <v>39</v>
      </c>
      <c r="B13" s="1">
        <v>2026</v>
      </c>
      <c r="C13" s="1">
        <v>5.0999999999999996</v>
      </c>
      <c r="D13" s="1">
        <v>6.8</v>
      </c>
      <c r="E13" s="1">
        <v>4.3</v>
      </c>
      <c r="F13" s="4" t="s">
        <v>42</v>
      </c>
      <c r="G13" s="1" t="str">
        <f t="shared" si="0"/>
        <v>March  2026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0975-24E4-46B7-9CA6-A6B188F87F6B}">
  <dimension ref="A1:D8"/>
  <sheetViews>
    <sheetView workbookViewId="0">
      <selection activeCell="F28" sqref="F28"/>
    </sheetView>
  </sheetViews>
  <sheetFormatPr defaultRowHeight="14.4" x14ac:dyDescent="0.3"/>
  <cols>
    <col min="1" max="1" width="10.77734375" customWidth="1"/>
    <col min="2" max="2" width="11.21875" customWidth="1"/>
    <col min="3" max="3" width="22.21875" customWidth="1"/>
    <col min="4" max="4" width="10.21875" customWidth="1"/>
  </cols>
  <sheetData>
    <row r="1" spans="1:4" x14ac:dyDescent="0.3">
      <c r="A1" t="s">
        <v>43</v>
      </c>
      <c r="B1" t="s">
        <v>44</v>
      </c>
      <c r="C1" t="s">
        <v>45</v>
      </c>
      <c r="D1" t="s">
        <v>46</v>
      </c>
    </row>
    <row r="2" spans="1:4" x14ac:dyDescent="0.3">
      <c r="A2" s="1" t="s">
        <v>47</v>
      </c>
      <c r="B2" s="1" t="s">
        <v>50</v>
      </c>
      <c r="C2" s="1">
        <v>5.0999999999999996</v>
      </c>
      <c r="D2" s="2">
        <v>46082</v>
      </c>
    </row>
    <row r="3" spans="1:4" x14ac:dyDescent="0.3">
      <c r="A3" s="1" t="s">
        <v>48</v>
      </c>
      <c r="B3" s="1" t="s">
        <v>50</v>
      </c>
      <c r="C3" s="1">
        <v>6.8</v>
      </c>
      <c r="D3" s="2">
        <v>46082</v>
      </c>
    </row>
    <row r="4" spans="1:4" x14ac:dyDescent="0.3">
      <c r="A4" s="1" t="s">
        <v>49</v>
      </c>
      <c r="B4" s="1" t="s">
        <v>50</v>
      </c>
      <c r="C4" s="1">
        <v>4.3</v>
      </c>
      <c r="D4" s="2">
        <v>46082</v>
      </c>
    </row>
    <row r="5" spans="1:4" x14ac:dyDescent="0.3">
      <c r="A5" s="1" t="s">
        <v>48</v>
      </c>
      <c r="B5" s="1" t="s">
        <v>51</v>
      </c>
      <c r="C5" s="1">
        <v>6.1</v>
      </c>
      <c r="D5" s="2">
        <v>46082</v>
      </c>
    </row>
    <row r="6" spans="1:4" x14ac:dyDescent="0.3">
      <c r="A6" s="1" t="s">
        <v>48</v>
      </c>
      <c r="B6" s="1" t="s">
        <v>52</v>
      </c>
      <c r="C6" s="1">
        <v>9</v>
      </c>
      <c r="D6" s="2">
        <v>46082</v>
      </c>
    </row>
    <row r="7" spans="1:4" x14ac:dyDescent="0.3">
      <c r="A7" s="1" t="s">
        <v>49</v>
      </c>
      <c r="B7" s="1" t="s">
        <v>51</v>
      </c>
      <c r="C7" s="1">
        <v>4.4000000000000004</v>
      </c>
      <c r="D7" s="2">
        <v>46082</v>
      </c>
    </row>
    <row r="8" spans="1:4" x14ac:dyDescent="0.3">
      <c r="A8" s="1" t="s">
        <v>49</v>
      </c>
      <c r="B8" s="1" t="s">
        <v>52</v>
      </c>
      <c r="C8" s="1">
        <v>4.0999999999999996</v>
      </c>
      <c r="D8" s="2">
        <v>46082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EA6C-74CB-4DCE-B17B-5A0813955C22}">
  <dimension ref="A1:D28"/>
  <sheetViews>
    <sheetView workbookViewId="0">
      <selection activeCell="D9" sqref="D9"/>
    </sheetView>
  </sheetViews>
  <sheetFormatPr defaultRowHeight="14.4" x14ac:dyDescent="0.3"/>
  <cols>
    <col min="1" max="1" width="7.21875" customWidth="1"/>
    <col min="2" max="2" width="16.33203125" customWidth="1"/>
    <col min="3" max="3" width="21" customWidth="1"/>
    <col min="4" max="4" width="38.33203125" bestFit="1" customWidth="1"/>
  </cols>
  <sheetData>
    <row r="1" spans="1:4" x14ac:dyDescent="0.3">
      <c r="A1" s="7" t="s">
        <v>0</v>
      </c>
      <c r="B1" s="7" t="s">
        <v>53</v>
      </c>
      <c r="C1" s="7" t="s">
        <v>54</v>
      </c>
      <c r="D1" s="7" t="s">
        <v>3</v>
      </c>
    </row>
    <row r="2" spans="1:4" x14ac:dyDescent="0.3">
      <c r="A2" s="1">
        <v>2000</v>
      </c>
      <c r="B2" s="1">
        <v>44.94</v>
      </c>
      <c r="C2" s="1"/>
      <c r="D2" s="1"/>
    </row>
    <row r="3" spans="1:4" x14ac:dyDescent="0.3">
      <c r="A3" s="1">
        <v>2001</v>
      </c>
      <c r="B3" s="1">
        <v>47.19</v>
      </c>
      <c r="C3" s="1">
        <v>-4.7699999999999996</v>
      </c>
      <c r="D3" s="1"/>
    </row>
    <row r="4" spans="1:4" x14ac:dyDescent="0.3">
      <c r="A4" s="1">
        <v>2002</v>
      </c>
      <c r="B4" s="1">
        <v>48.61</v>
      </c>
      <c r="C4" s="1">
        <v>-2.92</v>
      </c>
      <c r="D4" s="1"/>
    </row>
    <row r="5" spans="1:4" x14ac:dyDescent="0.3">
      <c r="A5" s="1">
        <v>2003</v>
      </c>
      <c r="B5" s="1">
        <v>46.58</v>
      </c>
      <c r="C5" s="1">
        <v>4.3499999999999996</v>
      </c>
      <c r="D5" s="1"/>
    </row>
    <row r="6" spans="1:4" x14ac:dyDescent="0.3">
      <c r="A6" s="1">
        <v>2004</v>
      </c>
      <c r="B6" s="1">
        <v>45.32</v>
      </c>
      <c r="C6" s="1">
        <v>2.78</v>
      </c>
      <c r="D6" s="1"/>
    </row>
    <row r="7" spans="1:4" x14ac:dyDescent="0.3">
      <c r="A7" s="1">
        <v>2005</v>
      </c>
      <c r="B7" s="1">
        <v>44.1</v>
      </c>
      <c r="C7" s="1">
        <v>2.76</v>
      </c>
      <c r="D7" s="1"/>
    </row>
    <row r="8" spans="1:4" x14ac:dyDescent="0.3">
      <c r="A8" s="1">
        <v>2006</v>
      </c>
      <c r="B8" s="1">
        <v>45.31</v>
      </c>
      <c r="C8" s="1">
        <v>-2.67</v>
      </c>
      <c r="D8" s="1"/>
    </row>
    <row r="9" spans="1:4" x14ac:dyDescent="0.3">
      <c r="A9" s="1">
        <v>2007</v>
      </c>
      <c r="B9" s="1">
        <v>41.35</v>
      </c>
      <c r="C9" s="1">
        <v>9.59</v>
      </c>
      <c r="D9" s="1" t="s">
        <v>55</v>
      </c>
    </row>
    <row r="10" spans="1:4" x14ac:dyDescent="0.3">
      <c r="A10" s="1">
        <v>2008</v>
      </c>
      <c r="B10" s="1">
        <v>43.51</v>
      </c>
      <c r="C10" s="1">
        <v>-4.96</v>
      </c>
      <c r="D10" s="1" t="s">
        <v>56</v>
      </c>
    </row>
    <row r="11" spans="1:4" x14ac:dyDescent="0.3">
      <c r="A11" s="1">
        <v>2009</v>
      </c>
      <c r="B11" s="1">
        <v>48.41</v>
      </c>
      <c r="C11" s="1">
        <v>-10.130000000000001</v>
      </c>
      <c r="D11" s="1"/>
    </row>
    <row r="12" spans="1:4" x14ac:dyDescent="0.3">
      <c r="A12" s="1">
        <v>2010</v>
      </c>
      <c r="B12" s="1">
        <v>45.74</v>
      </c>
      <c r="C12" s="1">
        <v>5.83</v>
      </c>
      <c r="D12" s="1"/>
    </row>
    <row r="13" spans="1:4" x14ac:dyDescent="0.3">
      <c r="A13" s="1">
        <v>2011</v>
      </c>
      <c r="B13" s="1">
        <v>46.67</v>
      </c>
      <c r="C13" s="1">
        <v>-1.99</v>
      </c>
      <c r="D13" s="1"/>
    </row>
    <row r="14" spans="1:4" x14ac:dyDescent="0.3">
      <c r="A14" s="1">
        <v>2012</v>
      </c>
      <c r="B14" s="1">
        <v>53.44</v>
      </c>
      <c r="C14" s="1">
        <v>-12.68</v>
      </c>
      <c r="D14" s="1" t="s">
        <v>57</v>
      </c>
    </row>
    <row r="15" spans="1:4" x14ac:dyDescent="0.3">
      <c r="A15" s="1">
        <v>2013</v>
      </c>
      <c r="B15" s="1">
        <v>58.6</v>
      </c>
      <c r="C15" s="1">
        <v>-8.81</v>
      </c>
      <c r="D15" s="1" t="s">
        <v>58</v>
      </c>
    </row>
    <row r="16" spans="1:4" x14ac:dyDescent="0.3">
      <c r="A16" s="1">
        <v>2014</v>
      </c>
      <c r="B16" s="1">
        <v>61.03</v>
      </c>
      <c r="C16" s="1">
        <v>-3.98</v>
      </c>
      <c r="D16" s="1"/>
    </row>
    <row r="17" spans="1:4" x14ac:dyDescent="0.3">
      <c r="A17" s="1">
        <v>2015</v>
      </c>
      <c r="B17" s="1">
        <v>64.150000000000006</v>
      </c>
      <c r="C17" s="1">
        <v>-4.8600000000000003</v>
      </c>
      <c r="D17" s="1"/>
    </row>
    <row r="18" spans="1:4" x14ac:dyDescent="0.3">
      <c r="A18" s="1">
        <v>2016</v>
      </c>
      <c r="B18" s="1">
        <v>67.2</v>
      </c>
      <c r="C18" s="1">
        <v>-4.54</v>
      </c>
      <c r="D18" s="1" t="s">
        <v>59</v>
      </c>
    </row>
    <row r="19" spans="1:4" x14ac:dyDescent="0.3">
      <c r="A19" s="1">
        <v>2017</v>
      </c>
      <c r="B19" s="1">
        <v>65.12</v>
      </c>
      <c r="C19" s="1">
        <v>3.19</v>
      </c>
      <c r="D19" s="1"/>
    </row>
    <row r="20" spans="1:4" x14ac:dyDescent="0.3">
      <c r="A20" s="1">
        <v>2018</v>
      </c>
      <c r="B20" s="1">
        <v>68.39</v>
      </c>
      <c r="C20" s="1">
        <v>-4.78</v>
      </c>
      <c r="D20" s="1"/>
    </row>
    <row r="21" spans="1:4" x14ac:dyDescent="0.3">
      <c r="A21" s="1">
        <v>2019</v>
      </c>
      <c r="B21" s="1">
        <v>70.42</v>
      </c>
      <c r="C21" s="1">
        <v>-2.88</v>
      </c>
      <c r="D21" s="1"/>
    </row>
    <row r="22" spans="1:4" x14ac:dyDescent="0.3">
      <c r="A22" s="1">
        <v>2020</v>
      </c>
      <c r="B22" s="1">
        <v>74.099999999999994</v>
      </c>
      <c r="C22" s="1">
        <v>-4.97</v>
      </c>
      <c r="D22" s="1" t="s">
        <v>60</v>
      </c>
    </row>
    <row r="23" spans="1:4" x14ac:dyDescent="0.3">
      <c r="A23" s="1">
        <v>2021</v>
      </c>
      <c r="B23" s="1">
        <v>73.92</v>
      </c>
      <c r="C23" s="1">
        <v>0.24</v>
      </c>
      <c r="D23" s="1"/>
    </row>
    <row r="24" spans="1:4" x14ac:dyDescent="0.3">
      <c r="A24" s="1">
        <v>2022</v>
      </c>
      <c r="B24" s="1">
        <v>78.599999999999994</v>
      </c>
      <c r="C24" s="1">
        <v>-6</v>
      </c>
      <c r="D24" s="1" t="s">
        <v>61</v>
      </c>
    </row>
    <row r="25" spans="1:4" x14ac:dyDescent="0.3">
      <c r="A25" s="1">
        <v>2023</v>
      </c>
      <c r="B25" s="1">
        <v>82.6</v>
      </c>
      <c r="C25" s="1">
        <v>-4.8499999999999996</v>
      </c>
      <c r="D25" s="1"/>
    </row>
    <row r="26" spans="1:4" x14ac:dyDescent="0.3">
      <c r="A26" s="1">
        <v>2024</v>
      </c>
      <c r="B26" s="1">
        <v>83.98</v>
      </c>
      <c r="C26" s="1">
        <v>-1.64</v>
      </c>
      <c r="D26" s="1"/>
    </row>
    <row r="27" spans="1:4" x14ac:dyDescent="0.3">
      <c r="A27" s="1">
        <v>2025</v>
      </c>
      <c r="B27" s="1">
        <v>86.5</v>
      </c>
      <c r="C27" s="1">
        <v>-2.88</v>
      </c>
      <c r="D27" s="1" t="s">
        <v>62</v>
      </c>
    </row>
    <row r="28" spans="1:4" x14ac:dyDescent="0.3">
      <c r="A28" s="1">
        <v>2026</v>
      </c>
      <c r="B28" s="1">
        <v>84.5</v>
      </c>
      <c r="C28" s="1">
        <v>2.31</v>
      </c>
      <c r="D28" s="1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Youth_ Unemployment</vt:lpstr>
      <vt:lpstr>GDP</vt:lpstr>
      <vt:lpstr>Inflation</vt:lpstr>
      <vt:lpstr>State_Unemployment</vt:lpstr>
      <vt:lpstr>PLFS_Monthly</vt:lpstr>
      <vt:lpstr>Gender_Split</vt:lpstr>
      <vt:lpstr>Rupee_USD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Arshad</dc:creator>
  <cp:lastModifiedBy>Salim Arshad</cp:lastModifiedBy>
  <dcterms:created xsi:type="dcterms:W3CDTF">2026-05-28T09:53:05Z</dcterms:created>
  <dcterms:modified xsi:type="dcterms:W3CDTF">2026-05-29T21:40:23Z</dcterms:modified>
</cp:coreProperties>
</file>